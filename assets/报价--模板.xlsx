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项目信息" sheetId="1" r:id="rId1"/>
    <sheet name="报价单" sheetId="4" r:id="rId2"/>
    <sheet name="组件" sheetId="2" state="hidden" r:id="rId3"/>
  </sheets>
  <definedNames>
    <definedName name="_xlnm.Print_Area" localSheetId="1">报价单!$A$1:$K$34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<sst xmlns="http://schemas.openxmlformats.org/spreadsheetml/2006/main" count="187" uniqueCount="135">
  <si>
    <t>序号</t>
  </si>
  <si>
    <t>类别</t>
  </si>
  <si>
    <t>名称</t>
  </si>
  <si>
    <t>单位</t>
  </si>
  <si>
    <t>数值</t>
  </si>
  <si>
    <t>项目信息</t>
  </si>
  <si>
    <t>客户姓名：</t>
  </si>
  <si>
    <t>张先生</t>
  </si>
  <si>
    <t>安装地点：</t>
  </si>
  <si>
    <t>蔡甸</t>
  </si>
  <si>
    <t>客户电话：</t>
  </si>
  <si>
    <t>销售经理：</t>
  </si>
  <si>
    <t>王</t>
  </si>
  <si>
    <t>销售经理电话：</t>
  </si>
  <si>
    <t>安装高度</t>
  </si>
  <si>
    <t>m</t>
  </si>
  <si>
    <t>安装形式</t>
  </si>
  <si>
    <t>钢结构-双坡</t>
  </si>
  <si>
    <t>排布方式</t>
  </si>
  <si>
    <t>竖向排布</t>
  </si>
  <si>
    <t>并网电压：</t>
  </si>
  <si>
    <t>V</t>
  </si>
  <si>
    <t>光伏系统</t>
  </si>
  <si>
    <t>组件功率</t>
  </si>
  <si>
    <t>W</t>
  </si>
  <si>
    <t>组件尺寸-长</t>
  </si>
  <si>
    <t>mm</t>
  </si>
  <si>
    <t>组件尺寸-宽</t>
  </si>
  <si>
    <t>组件尺寸-高</t>
  </si>
  <si>
    <t>1坡安装数量-行</t>
  </si>
  <si>
    <t>行</t>
  </si>
  <si>
    <t>1坡安装数量-列</t>
  </si>
  <si>
    <t>列</t>
  </si>
  <si>
    <t>2坡安装数量-行</t>
  </si>
  <si>
    <t>2坡安装数量-列</t>
  </si>
  <si>
    <t>总安装数量</t>
  </si>
  <si>
    <t>块</t>
  </si>
  <si>
    <t>安装面积</t>
  </si>
  <si>
    <t>㎡</t>
  </si>
  <si>
    <t>安装功率</t>
  </si>
  <si>
    <t>KW</t>
  </si>
  <si>
    <t>钢结构</t>
  </si>
  <si>
    <t>钢结构形式</t>
  </si>
  <si>
    <t>叠焊</t>
  </si>
  <si>
    <t>喷漆</t>
  </si>
  <si>
    <t>磁漆</t>
  </si>
  <si>
    <t>电气系统</t>
  </si>
  <si>
    <t>交流线</t>
  </si>
  <si>
    <t>直流线</t>
  </si>
  <si>
    <t>分布式光伏电站报价单</t>
  </si>
  <si>
    <t xml:space="preserve">                                                  报价日期：</t>
  </si>
  <si>
    <t>客户信息</t>
  </si>
  <si>
    <t>服务方信息</t>
  </si>
  <si>
    <t>联  系  人：</t>
  </si>
  <si>
    <t>联系电话：</t>
  </si>
  <si>
    <t>项目地址：</t>
  </si>
  <si>
    <t>联系地址：</t>
  </si>
  <si>
    <t>安装面积：</t>
  </si>
  <si>
    <t>预计年发电量：</t>
  </si>
  <si>
    <t>以下为贵方询价产品明细，请详阅：如有疑问，请及时与我司联系，谢谢！</t>
  </si>
  <si>
    <t>报      价      栏</t>
  </si>
  <si>
    <t>产品名称</t>
  </si>
  <si>
    <t>规格型号</t>
  </si>
  <si>
    <t>数量</t>
  </si>
  <si>
    <t>单价</t>
  </si>
  <si>
    <t>金额</t>
  </si>
  <si>
    <t>备注</t>
  </si>
  <si>
    <t>01</t>
  </si>
  <si>
    <t>光伏组件</t>
  </si>
  <si>
    <t>隆基650W 单晶硅 双玻</t>
  </si>
  <si>
    <t>02</t>
  </si>
  <si>
    <t>逆变器</t>
  </si>
  <si>
    <t>固德威 10Kw 380V</t>
  </si>
  <si>
    <t>台</t>
  </si>
  <si>
    <t>03</t>
  </si>
  <si>
    <t>配电箱</t>
  </si>
  <si>
    <t>380V 15KWw</t>
  </si>
  <si>
    <t>04</t>
  </si>
  <si>
    <t>交流线缆</t>
  </si>
  <si>
    <t>YJV-3*6+2*4</t>
  </si>
  <si>
    <t>米</t>
  </si>
  <si>
    <t>预计50米，方案确定后多退少补</t>
  </si>
  <si>
    <t>05</t>
  </si>
  <si>
    <t>直流线缆</t>
  </si>
  <si>
    <t>光伏专用直流线</t>
  </si>
  <si>
    <t>预计红黑线各100米，方案确定后多退少补</t>
  </si>
  <si>
    <t>06</t>
  </si>
  <si>
    <t>防水结构</t>
  </si>
  <si>
    <t>M型 锌镁铝支架 +铝合金压块+铝合金盖板</t>
  </si>
  <si>
    <t>m²</t>
  </si>
  <si>
    <t>07</t>
  </si>
  <si>
    <t>辅料及安装</t>
  </si>
  <si>
    <t>光伏板和防水结构安装及辅料</t>
  </si>
  <si>
    <t>08</t>
  </si>
  <si>
    <t>线路安装</t>
  </si>
  <si>
    <t>走线、逆变器、配电箱安装及辅材</t>
  </si>
  <si>
    <t>09</t>
  </si>
  <si>
    <t>施工及材料</t>
  </si>
  <si>
    <t>钢结构施工，材料100*100*2.5立柱，热镀锌钢材，辅料</t>
  </si>
  <si>
    <t>10</t>
  </si>
  <si>
    <t>钢结构油漆</t>
  </si>
  <si>
    <t>油漆及人工</t>
  </si>
  <si>
    <t>11</t>
  </si>
  <si>
    <t>其他</t>
  </si>
  <si>
    <t>并网</t>
  </si>
  <si>
    <t>电网规约四可设备及安装调试</t>
  </si>
  <si>
    <t>12</t>
  </si>
  <si>
    <t>运输及上楼</t>
  </si>
  <si>
    <t>材料运费及吊装费</t>
  </si>
  <si>
    <t>次</t>
  </si>
  <si>
    <t>13</t>
  </si>
  <si>
    <t>设计费</t>
  </si>
  <si>
    <t>效果图、施工图</t>
  </si>
  <si>
    <t>14</t>
  </si>
  <si>
    <t>备案及并网</t>
  </si>
  <si>
    <t>发改委备案及电网并网</t>
  </si>
  <si>
    <t>15</t>
  </si>
  <si>
    <t>价格总计：</t>
  </si>
  <si>
    <t>不含税</t>
  </si>
  <si>
    <t>报价说明：此报价不含税</t>
  </si>
  <si>
    <t>（1）</t>
  </si>
  <si>
    <t>报价有效期：自报价之日起10天。</t>
  </si>
  <si>
    <t>（2）</t>
  </si>
  <si>
    <t>结算方式：预付30%的定金，货到之日付30%，安装完成之日付30%，电站并网成功起3日内付清10%尾款。</t>
  </si>
  <si>
    <t>（3）</t>
  </si>
  <si>
    <t>交货时间：与合同签订后10个工作日内。</t>
  </si>
  <si>
    <t>（4）</t>
  </si>
  <si>
    <t>付款方式：一般产品为30%预付款，储能及特殊型号产品预付款方式请垂询。</t>
  </si>
  <si>
    <t>平面光伏瓦-多晶275</t>
  </si>
  <si>
    <t>平面光伏瓦-单晶310</t>
  </si>
  <si>
    <t>平面光伏瓦-单晶320</t>
  </si>
  <si>
    <t>晶澳组件-Prec单晶335</t>
  </si>
  <si>
    <t>晶澳组件-单晶310</t>
  </si>
  <si>
    <t>晶澳组件-多晶275</t>
  </si>
  <si>
    <t>晶澳组件-多晶270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</si>
</sst>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[$-F800]dddd\,\ mmmm\ dd\,\ yyyy"/>
    <numFmt numFmtId="178" formatCode="0_);[Red]\(0\)"/>
    <numFmt numFmtId="179" formatCode="0.00_);[Red]\(0.00\)"/>
    <numFmt numFmtId="180" formatCode="0.00_ "/>
  </numFmts>
  <fonts count="30">
    <font>
      <sz val="12"/>
      <name val="宋体"/>
      <charset val="134"/>
    </font>
    <font>
      <sz val="11"/>
      <name val="宋体"/>
      <charset val="134"/>
    </font>
    <font>
      <b/>
      <sz val="36"/>
      <color rgb="FFFFFFFF"/>
      <name val="微软雅黑"/>
      <charset val="134"/>
    </font>
    <font>
      <sz val="11"/>
      <name val="迷你简准圆"/>
      <charset val="134"/>
    </font>
    <font>
      <sz val="12"/>
      <name val="微软雅黑"/>
      <charset val="134"/>
    </font>
    <font>
      <b/>
      <sz val="12"/>
      <color rgb="FFFFFFFF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6"/>
      <color rgb="FF31869B"/>
      <name val="微软雅黑"/>
      <charset val="134"/>
    </font>
    <font>
      <sz val="10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rgb="FF31869B"/>
      </left>
      <right/>
      <top style="medium">
        <color rgb="FF31869B"/>
      </top>
      <bottom/>
      <diagonal/>
    </border>
    <border>
      <left/>
      <right/>
      <top style="medium">
        <color rgb="FF31869B"/>
      </top>
      <bottom/>
      <diagonal/>
    </border>
    <border>
      <left/>
      <right style="medium">
        <color rgb="FF31869B"/>
      </right>
      <top style="medium">
        <color rgb="FF31869B"/>
      </top>
      <bottom/>
      <diagonal/>
    </border>
    <border>
      <left style="medium">
        <color rgb="FF31869B"/>
      </left>
      <right/>
      <top style="medium">
        <color rgb="FF31869B"/>
      </top>
      <bottom style="thin">
        <color auto="1"/>
      </bottom>
      <diagonal/>
    </border>
    <border>
      <left/>
      <right/>
      <top style="medium">
        <color rgb="FF31869B"/>
      </top>
      <bottom style="thin">
        <color auto="1"/>
      </bottom>
      <diagonal/>
    </border>
    <border>
      <left/>
      <right style="thin">
        <color auto="1"/>
      </right>
      <top style="medium">
        <color rgb="FF31869B"/>
      </top>
      <bottom style="thin">
        <color auto="1"/>
      </bottom>
      <diagonal/>
    </border>
    <border>
      <left style="thin">
        <color auto="1"/>
      </left>
      <right style="medium">
        <color rgb="FF31869B"/>
      </right>
      <top style="medium">
        <color rgb="FF31869B"/>
      </top>
      <bottom style="thin">
        <color auto="1"/>
      </bottom>
      <diagonal/>
    </border>
    <border>
      <left style="medium">
        <color rgb="FF31869B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31869B"/>
      </bottom>
      <diagonal/>
    </border>
    <border>
      <left/>
      <right style="thin">
        <color auto="1"/>
      </right>
      <top style="thin">
        <color auto="1"/>
      </top>
      <bottom style="medium">
        <color rgb="FF31869B"/>
      </bottom>
      <diagonal/>
    </border>
    <border>
      <left/>
      <right style="medium">
        <color rgb="FF31869B"/>
      </right>
      <top/>
      <bottom/>
      <diagonal/>
    </border>
    <border>
      <left style="medium">
        <color rgb="FF31869B"/>
      </left>
      <right style="thin">
        <color rgb="FF000000"/>
      </right>
      <top style="medium">
        <color rgb="FF31869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31869B"/>
      </top>
      <bottom style="thin">
        <color rgb="FF000000"/>
      </bottom>
      <diagonal/>
    </border>
    <border>
      <left style="thin">
        <color rgb="FF000000"/>
      </left>
      <right style="medium">
        <color rgb="FF31869B"/>
      </right>
      <top style="medium">
        <color rgb="FF31869B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26" applyNumberFormat="0" applyAlignment="0" applyProtection="0">
      <alignment vertical="center"/>
    </xf>
    <xf numFmtId="0" fontId="20" fillId="8" borderId="27" applyNumberFormat="0" applyAlignment="0" applyProtection="0">
      <alignment vertical="center"/>
    </xf>
    <xf numFmtId="0" fontId="21" fillId="8" borderId="26" applyNumberFormat="0" applyAlignment="0" applyProtection="0">
      <alignment vertical="center"/>
    </xf>
    <xf numFmtId="0" fontId="22" fillId="9" borderId="28" applyNumberFormat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176" fontId="1" fillId="2" borderId="0" xfId="0" applyNumberFormat="1" applyFont="1" applyFill="1" applyAlignme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177" fontId="4" fillId="2" borderId="7" xfId="0" applyNumberFormat="1" applyFont="1" applyFill="1" applyBorder="1" applyAlignment="1">
      <alignment horizontal="left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76" fontId="7" fillId="2" borderId="19" xfId="0" applyNumberFormat="1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center" vertical="center"/>
    </xf>
    <xf numFmtId="176" fontId="4" fillId="2" borderId="14" xfId="0" applyNumberFormat="1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left" vertical="center"/>
    </xf>
    <xf numFmtId="178" fontId="4" fillId="2" borderId="14" xfId="0" applyNumberFormat="1" applyFont="1" applyFill="1" applyBorder="1" applyAlignment="1">
      <alignment horizontal="center" vertical="center"/>
    </xf>
    <xf numFmtId="176" fontId="4" fillId="2" borderId="14" xfId="0" applyNumberFormat="1" applyFont="1" applyFill="1" applyBorder="1" applyAlignment="1">
      <alignment horizontal="right" vertical="center"/>
    </xf>
    <xf numFmtId="179" fontId="4" fillId="2" borderId="14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 vertical="center"/>
    </xf>
    <xf numFmtId="176" fontId="4" fillId="0" borderId="14" xfId="0" applyNumberFormat="1" applyFont="1" applyFill="1" applyBorder="1" applyAlignment="1">
      <alignment vertical="center"/>
    </xf>
    <xf numFmtId="176" fontId="4" fillId="0" borderId="14" xfId="0" applyNumberFormat="1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left" vertical="center"/>
    </xf>
    <xf numFmtId="176" fontId="7" fillId="2" borderId="14" xfId="0" applyNumberFormat="1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49" fontId="7" fillId="2" borderId="14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/>
    <xf numFmtId="0" fontId="9" fillId="0" borderId="0" xfId="0" applyFont="1" applyFill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180" fontId="9" fillId="0" borderId="1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4F2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H14" sqref="H14"/>
    </sheetView>
  </sheetViews>
  <sheetFormatPr defaultColWidth="9" defaultRowHeight="13" outlineLevelCol="4"/>
  <cols>
    <col min="1" max="2" width="9" style="63"/>
    <col min="3" max="3" width="31.1666666666667" style="63" customWidth="1"/>
    <col min="4" max="4" width="5.58333333333333" style="63" customWidth="1"/>
    <col min="5" max="5" width="14.4166666666667" style="63" customWidth="1"/>
    <col min="6" max="16384" width="9" style="63"/>
  </cols>
  <sheetData>
    <row r="1" s="63" customFormat="1" spans="1:5">
      <c r="A1" s="64" t="s">
        <v>0</v>
      </c>
      <c r="B1" s="64" t="s">
        <v>1</v>
      </c>
      <c r="C1" s="65" t="s">
        <v>2</v>
      </c>
      <c r="D1" s="65" t="s">
        <v>3</v>
      </c>
      <c r="E1" s="64" t="s">
        <v>4</v>
      </c>
    </row>
    <row r="2" s="63" customFormat="1" spans="1:5">
      <c r="A2" s="64"/>
      <c r="B2" s="64" t="s">
        <v>5</v>
      </c>
      <c r="C2" s="65" t="s">
        <v>6</v>
      </c>
      <c r="D2" s="65"/>
      <c r="E2" s="66" t="s">
        <v>7</v>
      </c>
    </row>
    <row r="3" s="63" customFormat="1" spans="1:5">
      <c r="A3" s="64"/>
      <c r="B3" s="64" t="s">
        <v>5</v>
      </c>
      <c r="C3" s="65" t="s">
        <v>8</v>
      </c>
      <c r="D3" s="65"/>
      <c r="E3" s="66" t="s">
        <v>9</v>
      </c>
    </row>
    <row r="4" s="63" customFormat="1" spans="1:5">
      <c r="A4" s="64"/>
      <c r="B4" s="64" t="s">
        <v>5</v>
      </c>
      <c r="C4" s="65" t="s">
        <v>10</v>
      </c>
      <c r="D4" s="65"/>
      <c r="E4" s="66">
        <v>134</v>
      </c>
    </row>
    <row r="5" s="63" customFormat="1" spans="1:5">
      <c r="A5" s="64"/>
      <c r="B5" s="64" t="s">
        <v>5</v>
      </c>
      <c r="C5" s="65" t="s">
        <v>11</v>
      </c>
      <c r="D5" s="65"/>
      <c r="E5" s="66" t="s">
        <v>12</v>
      </c>
    </row>
    <row r="6" s="63" customFormat="1" spans="1:5">
      <c r="A6" s="64"/>
      <c r="B6" s="64"/>
      <c r="C6" s="65" t="s">
        <v>13</v>
      </c>
      <c r="D6" s="65"/>
      <c r="E6" s="66">
        <v>155</v>
      </c>
    </row>
    <row r="7" s="63" customFormat="1" spans="1:5">
      <c r="A7" s="64"/>
      <c r="B7" s="64" t="s">
        <v>5</v>
      </c>
      <c r="C7" s="64" t="s">
        <v>14</v>
      </c>
      <c r="D7" s="64" t="s">
        <v>15</v>
      </c>
      <c r="E7" s="66">
        <v>3</v>
      </c>
    </row>
    <row r="8" s="63" customFormat="1" spans="1:5">
      <c r="A8" s="64"/>
      <c r="B8" s="64" t="s">
        <v>5</v>
      </c>
      <c r="C8" s="64" t="s">
        <v>16</v>
      </c>
      <c r="D8" s="64"/>
      <c r="E8" s="67" t="s">
        <v>17</v>
      </c>
    </row>
    <row r="9" s="63" customFormat="1" spans="1:5">
      <c r="A9" s="64"/>
      <c r="B9" s="64" t="s">
        <v>5</v>
      </c>
      <c r="C9" s="64" t="s">
        <v>18</v>
      </c>
      <c r="D9" s="64"/>
      <c r="E9" s="67" t="s">
        <v>19</v>
      </c>
    </row>
    <row r="10" s="63" customFormat="1" spans="1:5">
      <c r="A10" s="64"/>
      <c r="B10" s="64" t="s">
        <v>5</v>
      </c>
      <c r="C10" s="65" t="s">
        <v>20</v>
      </c>
      <c r="D10" s="65" t="s">
        <v>21</v>
      </c>
      <c r="E10" s="68">
        <v>380</v>
      </c>
    </row>
    <row r="11" s="63" customFormat="1" spans="1:5">
      <c r="A11" s="64"/>
      <c r="B11" s="64" t="s">
        <v>22</v>
      </c>
      <c r="C11" s="65" t="s">
        <v>23</v>
      </c>
      <c r="D11" s="65" t="s">
        <v>24</v>
      </c>
      <c r="E11" s="68">
        <v>650</v>
      </c>
    </row>
    <row r="12" s="63" customFormat="1" spans="1:5">
      <c r="A12" s="64"/>
      <c r="B12" s="64" t="s">
        <v>22</v>
      </c>
      <c r="C12" s="64" t="s">
        <v>25</v>
      </c>
      <c r="D12" s="64" t="s">
        <v>26</v>
      </c>
      <c r="E12" s="64">
        <f>IF(E11=345,1689,IF(E11=540,2279,IF(E11=650,2382)))</f>
        <v>2382</v>
      </c>
    </row>
    <row r="13" s="63" customFormat="1" spans="1:5">
      <c r="A13" s="64"/>
      <c r="B13" s="64" t="s">
        <v>22</v>
      </c>
      <c r="C13" s="64" t="s">
        <v>27</v>
      </c>
      <c r="D13" s="64" t="s">
        <v>26</v>
      </c>
      <c r="E13" s="64">
        <f>IF(E11=345,996,IF(E11=540,1134,IF(E11=650,1134)))</f>
        <v>1134</v>
      </c>
    </row>
    <row r="14" s="63" customFormat="1" spans="1:5">
      <c r="A14" s="64"/>
      <c r="B14" s="64" t="s">
        <v>22</v>
      </c>
      <c r="C14" s="64" t="s">
        <v>28</v>
      </c>
      <c r="D14" s="64" t="s">
        <v>26</v>
      </c>
      <c r="E14" s="64">
        <f>IF(E11=345,35,IF(E11=540,35,IF(E11=650,30)))</f>
        <v>30</v>
      </c>
    </row>
    <row r="15" s="63" customFormat="1" spans="1:5">
      <c r="A15" s="64"/>
      <c r="B15" s="64" t="s">
        <v>22</v>
      </c>
      <c r="C15" s="64" t="s">
        <v>29</v>
      </c>
      <c r="D15" s="64" t="s">
        <v>30</v>
      </c>
      <c r="E15" s="66">
        <v>2</v>
      </c>
    </row>
    <row r="16" s="63" customFormat="1" spans="1:5">
      <c r="A16" s="64"/>
      <c r="B16" s="64" t="s">
        <v>22</v>
      </c>
      <c r="C16" s="64" t="s">
        <v>31</v>
      </c>
      <c r="D16" s="64" t="s">
        <v>32</v>
      </c>
      <c r="E16" s="66">
        <v>5</v>
      </c>
    </row>
    <row r="17" s="63" customFormat="1" spans="1:5">
      <c r="A17" s="64"/>
      <c r="B17" s="64" t="s">
        <v>22</v>
      </c>
      <c r="C17" s="64" t="s">
        <v>33</v>
      </c>
      <c r="D17" s="64" t="s">
        <v>30</v>
      </c>
      <c r="E17" s="66">
        <v>3</v>
      </c>
    </row>
    <row r="18" s="63" customFormat="1" spans="1:5">
      <c r="A18" s="64"/>
      <c r="B18" s="64" t="s">
        <v>22</v>
      </c>
      <c r="C18" s="64" t="s">
        <v>34</v>
      </c>
      <c r="D18" s="64" t="s">
        <v>32</v>
      </c>
      <c r="E18" s="66">
        <v>5</v>
      </c>
    </row>
    <row r="19" s="63" customFormat="1" spans="1:5">
      <c r="A19" s="64"/>
      <c r="B19" s="64" t="s">
        <v>22</v>
      </c>
      <c r="C19" s="64" t="s">
        <v>35</v>
      </c>
      <c r="D19" s="64" t="s">
        <v>36</v>
      </c>
      <c r="E19" s="64">
        <f>E15*E16+E17*E18</f>
        <v>25</v>
      </c>
    </row>
    <row r="20" s="63" customFormat="1" spans="1:5">
      <c r="A20" s="64"/>
      <c r="B20" s="64" t="s">
        <v>22</v>
      </c>
      <c r="C20" s="64" t="s">
        <v>37</v>
      </c>
      <c r="D20" s="64" t="s">
        <v>38</v>
      </c>
      <c r="E20" s="69">
        <f>E12*E13*E19/1000000</f>
        <v>67.5297</v>
      </c>
    </row>
    <row r="21" s="63" customFormat="1" spans="1:5">
      <c r="A21" s="64"/>
      <c r="B21" s="64" t="s">
        <v>22</v>
      </c>
      <c r="C21" s="64" t="s">
        <v>39</v>
      </c>
      <c r="D21" s="65" t="s">
        <v>40</v>
      </c>
      <c r="E21" s="64">
        <f>E19*E11/1000</f>
        <v>16.25</v>
      </c>
    </row>
    <row r="22" s="63" customFormat="1" spans="1:5">
      <c r="A22" s="64"/>
      <c r="B22" s="64" t="s">
        <v>41</v>
      </c>
      <c r="C22" s="64" t="s">
        <v>42</v>
      </c>
      <c r="D22" s="65"/>
      <c r="E22" s="67" t="s">
        <v>43</v>
      </c>
    </row>
    <row r="23" s="63" customFormat="1" spans="1:5">
      <c r="A23" s="64"/>
      <c r="B23" s="64" t="s">
        <v>41</v>
      </c>
      <c r="C23" s="64" t="s">
        <v>44</v>
      </c>
      <c r="D23" s="65"/>
      <c r="E23" s="67" t="s">
        <v>45</v>
      </c>
    </row>
    <row r="24" s="63" customFormat="1" ht="12.5" customHeight="1" spans="1:5">
      <c r="A24" s="64"/>
      <c r="B24" s="64" t="s">
        <v>46</v>
      </c>
      <c r="C24" s="64" t="s">
        <v>47</v>
      </c>
      <c r="D24" s="64" t="s">
        <v>15</v>
      </c>
      <c r="E24" s="66">
        <v>50</v>
      </c>
    </row>
    <row r="25" spans="1:5">
      <c r="A25" s="64"/>
      <c r="B25" s="64" t="s">
        <v>46</v>
      </c>
      <c r="C25" s="64" t="s">
        <v>48</v>
      </c>
      <c r="D25" s="64" t="s">
        <v>15</v>
      </c>
      <c r="E25" s="66">
        <v>100</v>
      </c>
    </row>
    <row r="26" spans="1:5">
      <c r="A26" s="64"/>
      <c r="B26" s="64"/>
      <c r="C26" s="64"/>
      <c r="D26" s="64"/>
      <c r="E26" s="64"/>
    </row>
  </sheetData>
  <dataValidations count="8">
    <dataValidation allowBlank="1" showInputMessage="1" showErrorMessage="1" sqref="E7 E15:E16 E18:E20"/>
    <dataValidation type="list" allowBlank="1" showInputMessage="1" showErrorMessage="1" sqref="E8">
      <formula1>"钢结构-单坡,钢结构-双坡,瓦面平铺"</formula1>
    </dataValidation>
    <dataValidation type="list" allowBlank="1" showInputMessage="1" showErrorMessage="1" sqref="E9">
      <formula1>"横向排布,竖向排布"</formula1>
    </dataValidation>
    <dataValidation type="list" allowBlank="1" showInputMessage="1" showErrorMessage="1" sqref="E10">
      <formula1>"220,380"</formula1>
    </dataValidation>
    <dataValidation type="list" allowBlank="1" showInputMessage="1" showErrorMessage="1" sqref="E11">
      <formula1>"650,540,345"</formula1>
    </dataValidation>
    <dataValidation allowBlank="1" showInputMessage="1" showErrorMessage="1" promptTitle="650,700" sqref="E12"/>
    <dataValidation type="list" allowBlank="1" showInputMessage="1" showErrorMessage="1" sqref="E22">
      <formula1>"叠焊,平焊,瓦面平铺"</formula1>
    </dataValidation>
    <dataValidation type="list" allowBlank="1" showInputMessage="1" showErrorMessage="1" sqref="E23">
      <formula1>"否,磁漆,氟碳漆"</formula1>
    </dataValidation>
  </dataValidations>
  <printOptions horizontalCentered="1"/>
  <pageMargins left="0.389583333333333" right="0.35" top="0.511805555555556" bottom="0.279166666666667" header="0.239583333333333" footer="0.118055555555556"/>
  <pageSetup paperSize="9" scale="97" orientation="portrait"/>
  <headerFooter alignWithMargins="0" scaleWithDoc="0"/>
  <ignoredErrors>
    <ignoredError sqref="C12:D12 C11:E11 A10:E10 C9:E9 A9 D15:D16 D13:E14 C17:D17 A26:E31 C24:D25 A24:A25 C21 C19:D20 C18 A11:A21 A1:E1 A2:B2 D2 A3:D4 A5:B5 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zoomScale="70" zoomScaleNormal="70" topLeftCell="A5" workbookViewId="0">
      <selection activeCell="E27" sqref="E27"/>
    </sheetView>
  </sheetViews>
  <sheetFormatPr defaultColWidth="9" defaultRowHeight="14"/>
  <cols>
    <col min="1" max="1" width="1.5" style="1" customWidth="1"/>
    <col min="2" max="3" width="9.58333333333333" style="1" customWidth="1"/>
    <col min="4" max="4" width="11.8333333333333" style="1" customWidth="1"/>
    <col min="5" max="5" width="56.0833333333333" style="1" customWidth="1"/>
    <col min="6" max="6" width="5.58333333333333" style="1" customWidth="1"/>
    <col min="7" max="7" width="7.33333333333333" style="1" customWidth="1"/>
    <col min="8" max="8" width="10.9166666666667" style="5" customWidth="1"/>
    <col min="9" max="9" width="12.1666666666667" style="5" customWidth="1"/>
    <col min="10" max="10" width="42.5" style="1" customWidth="1"/>
    <col min="11" max="11" width="1.775" style="1" customWidth="1"/>
    <col min="12" max="16384" width="9" style="1"/>
  </cols>
  <sheetData>
    <row r="1" s="1" customFormat="1" ht="14.75" spans="1:10">
      <c r="A1" s="6"/>
      <c r="B1" s="6"/>
      <c r="C1" s="6"/>
      <c r="D1" s="6"/>
      <c r="E1" s="6"/>
      <c r="F1" s="6"/>
      <c r="G1" s="6"/>
      <c r="H1" s="6"/>
      <c r="I1" s="6"/>
      <c r="J1" s="6"/>
    </row>
    <row r="2" s="1" customFormat="1" ht="51.25" spans="1:10">
      <c r="B2" s="7" t="s">
        <v>49</v>
      </c>
      <c r="C2" s="8"/>
      <c r="D2" s="8"/>
      <c r="E2" s="8"/>
      <c r="F2" s="8"/>
      <c r="G2" s="8"/>
      <c r="H2" s="9"/>
      <c r="I2" s="9"/>
      <c r="J2" s="10"/>
    </row>
    <row r="3" s="1" customFormat="1" ht="21" customHeight="1" spans="1:10">
      <c r="A3" s="11"/>
      <c r="B3" s="12" t="s">
        <v>50</v>
      </c>
      <c r="C3" s="13"/>
      <c r="D3" s="13"/>
      <c r="E3" s="13"/>
      <c r="F3" s="13"/>
      <c r="G3" s="13"/>
      <c r="H3" s="13"/>
      <c r="I3" s="14"/>
      <c r="J3" s="15">
        <f ca="1">TODAY()</f>
        <v>46215</v>
      </c>
    </row>
    <row r="4" s="1" customFormat="1" ht="30" customHeight="1" spans="1:10">
      <c r="B4" s="16" t="s">
        <v>51</v>
      </c>
      <c r="C4" s="17"/>
      <c r="D4" s="17"/>
      <c r="E4" s="17"/>
      <c r="F4" s="18" t="s">
        <v>52</v>
      </c>
      <c r="G4" s="19"/>
      <c r="H4" s="19"/>
      <c r="I4" s="19"/>
      <c r="J4" s="19"/>
    </row>
    <row r="5" s="1" customFormat="1" ht="20.25" customHeight="1" spans="1:10">
      <c r="B5" s="20" t="s">
        <v>53</v>
      </c>
      <c r="C5" s="21"/>
      <c r="D5" s="22" t="str">
        <f>项目信息!E2</f>
        <v>张先生</v>
      </c>
      <c r="E5" s="23" t="str">
        <f>"客户电话："&amp;项目信息!E4</f>
        <v>客户电话：134</v>
      </c>
      <c r="F5" s="24" t="s">
        <v>53</v>
      </c>
      <c r="G5" s="25"/>
      <c r="H5" s="26" t="str">
        <f>项目信息!E5</f>
        <v>王</v>
      </c>
      <c r="I5" s="27" t="s">
        <v>54</v>
      </c>
      <c r="J5" s="28">
        <f>项目信息!E6</f>
        <v>155</v>
      </c>
    </row>
    <row r="6" s="1" customFormat="1" ht="20.25" customHeight="1" spans="1:10">
      <c r="B6" s="20" t="s">
        <v>55</v>
      </c>
      <c r="C6" s="21"/>
      <c r="D6" s="29" t="str">
        <f>项目信息!E3</f>
        <v>蔡甸</v>
      </c>
      <c r="E6" s="30"/>
      <c r="F6" s="24" t="s">
        <v>56</v>
      </c>
      <c r="G6" s="25"/>
      <c r="H6" s="31"/>
      <c r="I6" s="31"/>
      <c r="J6" s="31"/>
    </row>
    <row r="7" s="1" customFormat="1" ht="6" customHeight="1" spans="1:10">
      <c r="B7" s="32"/>
      <c r="C7" s="33"/>
      <c r="D7" s="33"/>
      <c r="E7" s="33"/>
      <c r="F7" s="33"/>
      <c r="G7" s="33"/>
      <c r="H7" s="34"/>
      <c r="I7" s="34"/>
      <c r="J7" s="35"/>
    </row>
    <row r="8" s="2" customFormat="1" ht="23" customHeight="1" spans="1:10">
      <c r="B8" s="36" t="s">
        <v>57</v>
      </c>
      <c r="C8" s="37"/>
      <c r="D8" s="37" t="str">
        <f>项目信息!E20&amp;"㎡"</f>
        <v>67.5297㎡</v>
      </c>
      <c r="E8" s="38" t="str">
        <f>"安装功率："&amp;项目信息!E21&amp;"Kw"</f>
        <v>安装功率：16.25Kw</v>
      </c>
      <c r="F8" s="37" t="s">
        <v>58</v>
      </c>
      <c r="G8" s="37"/>
      <c r="H8" s="39" t="str">
        <f>项目信息!E21*1000&amp;"度左右"</f>
        <v>16250度左右</v>
      </c>
      <c r="I8" s="39"/>
      <c r="J8" s="40"/>
    </row>
    <row r="9" s="3" customFormat="1" ht="20.15" customHeight="1" spans="1:10">
      <c r="B9" s="41" t="s">
        <v>59</v>
      </c>
      <c r="C9" s="42"/>
      <c r="D9" s="42"/>
      <c r="E9" s="42"/>
      <c r="F9" s="42"/>
      <c r="G9" s="42"/>
      <c r="H9" s="43"/>
      <c r="I9" s="43"/>
      <c r="J9" s="44"/>
    </row>
    <row r="10" s="3" customFormat="1" ht="38" customHeight="1" spans="1:10">
      <c r="B10" s="45" t="s">
        <v>60</v>
      </c>
      <c r="C10" s="45"/>
      <c r="D10" s="45"/>
      <c r="E10" s="45"/>
      <c r="F10" s="45"/>
      <c r="G10" s="45"/>
      <c r="H10" s="45"/>
      <c r="I10" s="45"/>
      <c r="J10" s="45"/>
    </row>
    <row r="11" s="1" customFormat="1" ht="23" customHeight="1" spans="1:10">
      <c r="B11" s="31" t="s">
        <v>0</v>
      </c>
      <c r="C11" s="31" t="s">
        <v>1</v>
      </c>
      <c r="D11" s="31" t="s">
        <v>61</v>
      </c>
      <c r="E11" s="31" t="s">
        <v>62</v>
      </c>
      <c r="F11" s="31" t="s">
        <v>3</v>
      </c>
      <c r="G11" s="31" t="s">
        <v>63</v>
      </c>
      <c r="H11" s="46" t="s">
        <v>64</v>
      </c>
      <c r="I11" s="46" t="s">
        <v>65</v>
      </c>
      <c r="J11" s="31" t="s">
        <v>66</v>
      </c>
    </row>
    <row r="12" s="1" customFormat="1" ht="23" customHeight="1" spans="1:10">
      <c r="B12" s="47" t="s">
        <v>67</v>
      </c>
      <c r="C12" s="47" t="s">
        <v>22</v>
      </c>
      <c r="D12" s="47" t="s">
        <v>68</v>
      </c>
      <c r="E12" s="48" t="s">
        <v>69</v>
      </c>
      <c r="F12" s="47" t="s">
        <v>36</v>
      </c>
      <c r="G12" s="49">
        <f>项目信息!E19</f>
        <v>25</v>
      </c>
      <c r="H12" s="50">
        <f>项目信息!E11*0.9</f>
        <v>585</v>
      </c>
      <c r="I12" s="50">
        <f t="shared" ref="I12:I25" si="0">G12*H12</f>
        <v>14625</v>
      </c>
      <c r="J12" s="48"/>
    </row>
    <row r="13" s="1" customFormat="1" ht="23" customHeight="1" spans="1:10">
      <c r="B13" s="47" t="s">
        <v>70</v>
      </c>
      <c r="C13" s="47" t="s">
        <v>22</v>
      </c>
      <c r="D13" s="47" t="s">
        <v>71</v>
      </c>
      <c r="E13" s="48" t="s">
        <v>72</v>
      </c>
      <c r="F13" s="47" t="s">
        <v>73</v>
      </c>
      <c r="G13" s="49">
        <v>1</v>
      </c>
      <c r="H13" s="50">
        <f>IF(项目信息!E21&lt;=20,2800,IF(20&lt;项目信息!E21&lt;=30,3500,IF(20&lt;项目信息!E21&gt;30=650,2382)))</f>
        <v>2800</v>
      </c>
      <c r="I13" s="50">
        <f t="shared" si="0"/>
        <v>2800</v>
      </c>
      <c r="J13" s="47"/>
    </row>
    <row r="14" s="1" customFormat="1" ht="23" customHeight="1" spans="1:10">
      <c r="B14" s="47" t="s">
        <v>74</v>
      </c>
      <c r="C14" s="47" t="s">
        <v>22</v>
      </c>
      <c r="D14" s="47" t="s">
        <v>75</v>
      </c>
      <c r="E14" s="48" t="s">
        <v>76</v>
      </c>
      <c r="F14" s="47" t="s">
        <v>73</v>
      </c>
      <c r="G14" s="49">
        <v>1</v>
      </c>
      <c r="H14" s="50">
        <f>IF(项目信息!E21&lt;=20,500,IF(20&lt;项目信息!E21&lt;=30,900,IF(20&lt;项目信息!E21&gt;30,1500)))</f>
        <v>500</v>
      </c>
      <c r="I14" s="50">
        <f t="shared" si="0"/>
        <v>500</v>
      </c>
      <c r="J14" s="47"/>
    </row>
    <row r="15" s="1" customFormat="1" ht="23" customHeight="1" spans="1:10">
      <c r="B15" s="47" t="s">
        <v>77</v>
      </c>
      <c r="C15" s="47" t="s">
        <v>22</v>
      </c>
      <c r="D15" s="47" t="s">
        <v>78</v>
      </c>
      <c r="E15" s="48" t="s">
        <v>79</v>
      </c>
      <c r="F15" s="47" t="s">
        <v>80</v>
      </c>
      <c r="G15" s="49">
        <f>项目信息!E24</f>
        <v>50</v>
      </c>
      <c r="H15" s="50">
        <v>35</v>
      </c>
      <c r="I15" s="50">
        <f t="shared" si="0"/>
        <v>1750</v>
      </c>
      <c r="J15" s="48" t="s">
        <v>81</v>
      </c>
    </row>
    <row r="16" s="1" customFormat="1" ht="23" customHeight="1" spans="1:10">
      <c r="B16" s="47" t="s">
        <v>82</v>
      </c>
      <c r="C16" s="47" t="s">
        <v>22</v>
      </c>
      <c r="D16" s="47" t="s">
        <v>83</v>
      </c>
      <c r="E16" s="48" t="s">
        <v>84</v>
      </c>
      <c r="F16" s="47" t="s">
        <v>80</v>
      </c>
      <c r="G16" s="49">
        <f>项目信息!E25</f>
        <v>100</v>
      </c>
      <c r="H16" s="50">
        <v>6</v>
      </c>
      <c r="I16" s="50">
        <f t="shared" si="0"/>
        <v>600</v>
      </c>
      <c r="J16" s="48" t="s">
        <v>85</v>
      </c>
    </row>
    <row r="17" s="1" customFormat="1" ht="23" customHeight="1" spans="1:10">
      <c r="B17" s="47" t="s">
        <v>86</v>
      </c>
      <c r="C17" s="47" t="s">
        <v>22</v>
      </c>
      <c r="D17" s="47" t="s">
        <v>87</v>
      </c>
      <c r="E17" s="48" t="s">
        <v>88</v>
      </c>
      <c r="F17" s="47" t="s">
        <v>89</v>
      </c>
      <c r="G17" s="51">
        <f>项目信息!E20</f>
        <v>67.5297</v>
      </c>
      <c r="H17" s="50">
        <v>65</v>
      </c>
      <c r="I17" s="50">
        <f t="shared" si="0"/>
        <v>4389.4305</v>
      </c>
      <c r="J17" s="47"/>
    </row>
    <row r="18" s="1" customFormat="1" ht="23" customHeight="1" spans="1:10">
      <c r="B18" s="47" t="s">
        <v>90</v>
      </c>
      <c r="C18" s="47" t="s">
        <v>22</v>
      </c>
      <c r="D18" s="47" t="s">
        <v>91</v>
      </c>
      <c r="E18" s="48" t="s">
        <v>92</v>
      </c>
      <c r="F18" s="47" t="s">
        <v>89</v>
      </c>
      <c r="G18" s="51">
        <f>项目信息!E20</f>
        <v>67.5297</v>
      </c>
      <c r="H18" s="50">
        <v>45</v>
      </c>
      <c r="I18" s="50">
        <f t="shared" si="0"/>
        <v>3038.8365</v>
      </c>
      <c r="J18" s="47"/>
    </row>
    <row r="19" s="1" customFormat="1" ht="23" customHeight="1" spans="1:10">
      <c r="B19" s="47" t="s">
        <v>93</v>
      </c>
      <c r="C19" s="47" t="s">
        <v>22</v>
      </c>
      <c r="D19" s="47" t="s">
        <v>94</v>
      </c>
      <c r="E19" s="48" t="s">
        <v>95</v>
      </c>
      <c r="F19" s="47" t="s">
        <v>89</v>
      </c>
      <c r="G19" s="51">
        <f>项目信息!E20</f>
        <v>67.5297</v>
      </c>
      <c r="H19" s="50">
        <v>15</v>
      </c>
      <c r="I19" s="50">
        <f t="shared" si="0"/>
        <v>1012.9455</v>
      </c>
      <c r="J19" s="47"/>
    </row>
    <row r="20" s="1" customFormat="1" ht="23" customHeight="1" spans="1:10">
      <c r="B20" s="47" t="s">
        <v>96</v>
      </c>
      <c r="C20" s="47" t="s">
        <v>41</v>
      </c>
      <c r="D20" s="47" t="s">
        <v>97</v>
      </c>
      <c r="E20" s="48" t="s">
        <v>98</v>
      </c>
      <c r="F20" s="47" t="s">
        <v>89</v>
      </c>
      <c r="G20" s="51">
        <f>项目信息!E20</f>
        <v>67.5297</v>
      </c>
      <c r="H20" s="50">
        <f>IF(项目信息!E22="平焊",145,IF(项目信息!E22="叠焊",195,IF(项目信息!E22="瓦面平铺",110,0)))</f>
        <v>195</v>
      </c>
      <c r="I20" s="50">
        <f t="shared" si="0"/>
        <v>13168.2915</v>
      </c>
      <c r="J20" s="52" t="str">
        <f>项目信息!E22</f>
        <v>叠焊</v>
      </c>
    </row>
    <row r="21" s="1" customFormat="1" ht="23" customHeight="1" spans="1:10">
      <c r="B21" s="47" t="s">
        <v>99</v>
      </c>
      <c r="C21" s="47" t="s">
        <v>41</v>
      </c>
      <c r="D21" s="47" t="s">
        <v>100</v>
      </c>
      <c r="E21" s="48" t="s">
        <v>101</v>
      </c>
      <c r="F21" s="47" t="s">
        <v>89</v>
      </c>
      <c r="G21" s="51">
        <f>项目信息!E20</f>
        <v>67.5297</v>
      </c>
      <c r="H21" s="50">
        <f>IF(项目信息!E23="否",0,IF(项目信息!E23="磁漆",30,IF(项目信息!E23="氟碳漆",100)))</f>
        <v>30</v>
      </c>
      <c r="I21" s="50">
        <f t="shared" si="0"/>
        <v>2025.891</v>
      </c>
      <c r="J21" s="52" t="str">
        <f>项目信息!E23</f>
        <v>磁漆</v>
      </c>
    </row>
    <row r="22" s="1" customFormat="1" ht="23" customHeight="1" spans="1:10">
      <c r="B22" s="47" t="s">
        <v>102</v>
      </c>
      <c r="C22" s="47" t="s">
        <v>103</v>
      </c>
      <c r="D22" s="47" t="s">
        <v>104</v>
      </c>
      <c r="E22" s="48" t="s">
        <v>105</v>
      </c>
      <c r="F22" s="47" t="s">
        <v>73</v>
      </c>
      <c r="G22" s="51">
        <v>1</v>
      </c>
      <c r="H22" s="50">
        <v>950</v>
      </c>
      <c r="I22" s="50">
        <f t="shared" si="0"/>
        <v>950</v>
      </c>
      <c r="J22" s="47"/>
    </row>
    <row r="23" s="1" customFormat="1" ht="23" customHeight="1" spans="1:10">
      <c r="B23" s="47" t="s">
        <v>106</v>
      </c>
      <c r="C23" s="47" t="s">
        <v>103</v>
      </c>
      <c r="D23" s="47" t="s">
        <v>107</v>
      </c>
      <c r="E23" s="48" t="s">
        <v>108</v>
      </c>
      <c r="F23" s="47" t="s">
        <v>109</v>
      </c>
      <c r="G23" s="49">
        <v>1</v>
      </c>
      <c r="H23" s="50">
        <v>1400</v>
      </c>
      <c r="I23" s="50">
        <f t="shared" si="0"/>
        <v>1400</v>
      </c>
      <c r="J23" s="47"/>
    </row>
    <row r="24" s="1" customFormat="1" ht="23" customHeight="1" spans="1:10">
      <c r="B24" s="47" t="s">
        <v>110</v>
      </c>
      <c r="C24" s="47" t="s">
        <v>103</v>
      </c>
      <c r="D24" s="47" t="s">
        <v>111</v>
      </c>
      <c r="E24" s="48" t="s">
        <v>112</v>
      </c>
      <c r="F24" s="47" t="s">
        <v>89</v>
      </c>
      <c r="G24" s="51">
        <v>35.96</v>
      </c>
      <c r="H24" s="50">
        <v>15</v>
      </c>
      <c r="I24" s="50">
        <f t="shared" si="0"/>
        <v>539.4</v>
      </c>
      <c r="J24" s="47"/>
    </row>
    <row r="25" s="1" customFormat="1" ht="23" customHeight="1" spans="1:10">
      <c r="B25" s="47" t="s">
        <v>113</v>
      </c>
      <c r="C25" s="47" t="s">
        <v>103</v>
      </c>
      <c r="D25" s="31" t="s">
        <v>114</v>
      </c>
      <c r="E25" s="48" t="s">
        <v>115</v>
      </c>
      <c r="F25" s="47" t="s">
        <v>109</v>
      </c>
      <c r="G25" s="49">
        <v>1</v>
      </c>
      <c r="H25" s="50">
        <v>1000</v>
      </c>
      <c r="I25" s="50">
        <f t="shared" si="0"/>
        <v>1000</v>
      </c>
      <c r="J25" s="31"/>
    </row>
    <row r="26" s="1" customFormat="1" ht="23" customHeight="1" spans="1:10">
      <c r="B26" s="47" t="s">
        <v>116</v>
      </c>
      <c r="C26" s="47"/>
      <c r="D26" s="31"/>
      <c r="E26" s="47"/>
      <c r="F26" s="47"/>
      <c r="G26" s="49"/>
      <c r="H26" s="50"/>
      <c r="I26" s="50"/>
      <c r="J26" s="31"/>
    </row>
    <row r="27" s="1" customFormat="1" ht="23" customHeight="1" spans="1:10">
      <c r="B27" s="53">
        <v>16</v>
      </c>
      <c r="C27" s="54"/>
      <c r="D27" s="54"/>
      <c r="E27" s="55" t="s">
        <v>117</v>
      </c>
      <c r="F27" s="54"/>
      <c r="G27" s="54"/>
      <c r="H27" s="56"/>
      <c r="I27" s="57">
        <f>SUM(I12:I26)</f>
        <v>47799.795</v>
      </c>
      <c r="J27" s="55" t="s">
        <v>118</v>
      </c>
    </row>
    <row r="28" s="1" customFormat="1" ht="23" customHeight="1" spans="1:10">
      <c r="B28" s="58" t="s">
        <v>119</v>
      </c>
      <c r="C28" s="58"/>
      <c r="D28" s="58"/>
      <c r="E28" s="58"/>
      <c r="F28" s="58"/>
      <c r="G28" s="58"/>
      <c r="H28" s="59"/>
      <c r="I28" s="59"/>
      <c r="J28" s="58"/>
    </row>
    <row r="29" s="4" customFormat="1" ht="23" customHeight="1" spans="1:10">
      <c r="A29" s="60"/>
      <c r="B29" s="61" t="s">
        <v>120</v>
      </c>
      <c r="C29" s="58" t="s">
        <v>121</v>
      </c>
      <c r="D29" s="58"/>
      <c r="E29" s="58"/>
      <c r="F29" s="58"/>
      <c r="G29" s="58"/>
      <c r="H29" s="59"/>
      <c r="I29" s="59"/>
      <c r="J29" s="58"/>
    </row>
    <row r="30" s="4" customFormat="1" ht="23" customHeight="1" spans="1:10">
      <c r="A30" s="60"/>
      <c r="B30" s="61" t="s">
        <v>122</v>
      </c>
      <c r="C30" s="58" t="s">
        <v>123</v>
      </c>
      <c r="D30" s="58"/>
      <c r="E30" s="58"/>
      <c r="F30" s="58"/>
      <c r="G30" s="58"/>
      <c r="H30" s="59"/>
      <c r="I30" s="59"/>
      <c r="J30" s="58"/>
    </row>
    <row r="31" s="4" customFormat="1" ht="23" customHeight="1" spans="1:10">
      <c r="A31" s="60"/>
      <c r="B31" s="61" t="s">
        <v>124</v>
      </c>
      <c r="C31" s="58" t="s">
        <v>125</v>
      </c>
      <c r="D31" s="58"/>
      <c r="E31" s="58"/>
      <c r="F31" s="58"/>
      <c r="G31" s="58"/>
      <c r="H31" s="59"/>
      <c r="I31" s="59"/>
      <c r="J31" s="58"/>
    </row>
    <row r="32" s="1" customFormat="1" ht="23" customHeight="1" spans="1:10">
      <c r="A32" s="62"/>
      <c r="B32" s="61" t="s">
        <v>126</v>
      </c>
      <c r="C32" s="58" t="s">
        <v>127</v>
      </c>
      <c r="D32" s="58"/>
      <c r="E32" s="58"/>
      <c r="F32" s="58"/>
      <c r="G32" s="58"/>
      <c r="H32" s="59"/>
      <c r="I32" s="59"/>
      <c r="J32" s="58"/>
    </row>
    <row r="33" s="1" customFormat="1" ht="4" customHeight="1" spans="1:10">
      <c r="A33" s="62"/>
      <c r="B33" s="32"/>
      <c r="C33" s="33"/>
      <c r="D33" s="33"/>
      <c r="E33" s="33"/>
      <c r="F33" s="33"/>
      <c r="G33" s="33"/>
      <c r="H33" s="34"/>
      <c r="I33" s="34"/>
      <c r="J33" s="35"/>
    </row>
  </sheetData>
  <mergeCells count="22">
    <mergeCell ref="A1:J1"/>
    <mergeCell ref="B2:J2"/>
    <mergeCell ref="B3:I3"/>
    <mergeCell ref="F4:J4"/>
    <mergeCell ref="B5:C5"/>
    <mergeCell ref="F5:G5"/>
    <mergeCell ref="B6:C6"/>
    <mergeCell ref="D6:E6"/>
    <mergeCell ref="F6:G6"/>
    <mergeCell ref="H6:J6"/>
    <mergeCell ref="B7:J7"/>
    <mergeCell ref="B8:C8"/>
    <mergeCell ref="F8:G8"/>
    <mergeCell ref="H8:J8"/>
    <mergeCell ref="B9:J9"/>
    <mergeCell ref="B10:J10"/>
    <mergeCell ref="B28:J28"/>
    <mergeCell ref="C29:J29"/>
    <mergeCell ref="C30:J30"/>
    <mergeCell ref="C31:J31"/>
    <mergeCell ref="C32:J32"/>
    <mergeCell ref="B33:J33"/>
  </mergeCells>
  <dataValidations count="1">
    <dataValidation allowBlank="1" showInputMessage="1" showErrorMessage="1" sqref="J21"/>
  </dataValidations>
  <pageMargins left="0.550694444444444" right="0.196527777777778" top="0.236111111111111" bottom="0.196527777777778" header="0.156944444444444" footer="0.118055555555556"/>
  <pageSetup paperSize="9" scale="7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9" sqref="C9"/>
    </sheetView>
  </sheetViews>
  <sheetFormatPr defaultColWidth="9" defaultRowHeight="15" outlineLevelRow="6"/>
  <cols>
    <col min="1" max="1" width="20.9166666666667" customWidth="1"/>
  </cols>
  <sheetData>
    <row r="1" spans="1:1">
      <c r="A1" t="s">
        <v>128</v>
      </c>
    </row>
    <row r="2" spans="1:1">
      <c r="A2" t="s">
        <v>129</v>
      </c>
    </row>
    <row r="3" spans="1:1">
      <c r="A3" t="s">
        <v>130</v>
      </c>
    </row>
    <row r="4" spans="1:1">
      <c r="A4" t="s">
        <v>131</v>
      </c>
    </row>
    <row r="5" spans="1:1">
      <c r="A5" t="s">
        <v>132</v>
      </c>
    </row>
    <row r="6" spans="1:1">
      <c r="A6" t="s">
        <v>133</v>
      </c>
    </row>
    <row r="7" spans="1:1">
      <c r="A7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项目信息</vt:lpstr>
      <vt:lpstr>报价单</vt:lpstr>
      <vt:lpstr>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王凯</cp:lastModifiedBy>
  <cp:revision>1</cp:revision>
  <dcterms:created xsi:type="dcterms:W3CDTF">2017-06-02T01:16:00Z</dcterms:created>
  <cp:lastPrinted>2018-03-07T11:49:00Z</cp:lastPrinted>
  <dcterms:modified xsi:type="dcterms:W3CDTF">2026-07-12T12:48:06Z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87971AE973204763BA25A0D0BD9F1B62_13</vt:lpwstr>
  </property>
  <property fmtid="{D5CDD505-2E9C-101B-9397-08002B2CF9AE}" pid="4" name="CalculationRule">
    <vt:i4>0</vt:i4>
  </property>
</Properties>
</file>